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F18E92A4-A366-410B-AEF5-D6E7917C56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Planilha2" sheetId="2" state="hidden" r:id="rId2"/>
  </sheets>
  <definedNames>
    <definedName name="aporte">APP!$D$17:$D$17</definedName>
    <definedName name="patrimonio">APP!$D$20:$D$20</definedName>
    <definedName name="Perfil">APP!$C$31:$C$31</definedName>
    <definedName name="qtd_anos">APP!$D$18:$D$18</definedName>
    <definedName name="rendimento_carteira">APP!$D$13:$D$13</definedName>
    <definedName name="taxa_mensal">APP!$D$19:$D$19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 a="1"/>
  <c r="C36" i="1"/>
  <c r="C37" i="1" a="1"/>
  <c r="C37" i="1"/>
  <c r="C38" i="1" a="1"/>
  <c r="C38" i="1"/>
  <c r="C39" i="1" a="1"/>
  <c r="C39" i="1"/>
  <c r="C40" i="1" a="1"/>
  <c r="C40" i="1"/>
  <c r="C35" i="1" a="1"/>
  <c r="C35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 a="1"/>
  <c r="C32" i="1"/>
  <c r="D14" i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36" i="1" l="1"/>
  <c r="D37" i="1"/>
  <c r="D38" i="1"/>
  <c r="D39" i="1"/>
  <c r="D40" i="1"/>
  <c r="D35" i="1"/>
  <c r="D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<sst xmlns="http://schemas.openxmlformats.org/spreadsheetml/2006/main" count="71" uniqueCount="34">
  <si>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</si>
  <si>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</si>
  <si>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</si>
  <si>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e Investimento (30%)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</si>
  <si>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</si>
  <si>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</si>
  <si>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</si>
  <si>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</si>
  <si>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</si>
  <si>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</si>
  <si>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</si>
  <si>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</si>
  <si>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</si>
  <si>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</si>
  <si>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</si>
  <si>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</si>
  <si>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</si>
  <si>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</si>
  <si>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</si>
  <si>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</si>
  <si>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</si>
  <si>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</si>
  <si>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</si>
  <si>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</si>
  <si>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</si>
  <si>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</si>
  <si>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</si>
  <si>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</si>
  <si>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</si>
  <si>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</si>
  <si>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</si>
  <si>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Moderado-Tijolo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</si>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</sst>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>
    <font>
      <sz val="11"/>
      <color theme="1"/>
      <name val="Calibri"/>
      <family val="2"/>
      <scheme val="minor"/>
    </font>
    <font>
      <sz val="18"/>
      <color rgb="FFFFD6DE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scheme val="minor"/>
    </font>
    <font>
      <sz val="12"/>
      <color rgb="FFFFD6DE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581845"/>
      <name val="Calibri"/>
      <family val="2"/>
      <scheme val="minor"/>
    </font>
    <font>
      <b/>
      <sz val="18"/>
      <color rgb="FF58184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D6D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818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92A5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rgb="FF000000"/>
      </right>
      <top/>
      <bottom style="thin">
        <color theme="0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rgb="FF000000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rgb="FF000000"/>
      </right>
      <top style="thin">
        <color theme="6"/>
      </top>
      <bottom style="thin">
        <color theme="6"/>
      </bottom>
      <diagonal/>
    </border>
    <border>
      <left style="medium">
        <color rgb="FF000000"/>
      </left>
      <right style="thin">
        <color theme="6"/>
      </right>
      <top style="thin">
        <color theme="6"/>
      </top>
      <bottom style="medium">
        <color rgb="FF000000"/>
      </bottom>
      <diagonal/>
    </border>
    <border>
      <left style="thin">
        <color theme="6"/>
      </left>
      <right style="medium">
        <color rgb="FF000000"/>
      </right>
      <top style="thin">
        <color theme="6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thin">
        <color theme="6"/>
      </left>
      <right style="medium">
        <color rgb="FF000000"/>
      </right>
      <top style="medium">
        <color rgb="FF000000"/>
      </top>
      <bottom style="thin">
        <color theme="6"/>
      </bottom>
      <diagonal/>
    </border>
    <border>
      <left style="medium">
        <color rgb="FF000000"/>
      </left>
      <right style="thin">
        <color theme="6"/>
      </right>
      <top style="medium">
        <color rgb="FF000000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rgb="FF000000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rgb="FF000000"/>
      </bottom>
      <diagonal/>
    </border>
    <border>
      <left/>
      <right/>
      <top/>
      <bottom style="medium">
        <color theme="6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52">
    <xf numFmtId="0" fontId="0" fillId="0" borderId="0" xfId="0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9" fontId="0" fillId="0" borderId="0" xfId="0" applyNumberFormat="1"/>
    <xf numFmtId="0" fontId="8" fillId="5" borderId="1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0" fillId="0" borderId="0" xfId="0" applyBorder="1"/>
    <xf numFmtId="9" fontId="0" fillId="0" borderId="0" xfId="0" applyNumberFormat="1" applyBorder="1"/>
    <xf numFmtId="9" fontId="2" fillId="0" borderId="13" xfId="0" applyNumberFormat="1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0" fontId="3" fillId="0" borderId="13" xfId="0" applyNumberFormat="1" applyFont="1" applyBorder="1" applyAlignment="1">
      <alignment horizontal="center" vertical="center"/>
    </xf>
    <xf numFmtId="8" fontId="3" fillId="3" borderId="13" xfId="0" applyNumberFormat="1" applyFont="1" applyFill="1" applyBorder="1" applyAlignment="1">
      <alignment horizontal="center" vertical="center"/>
    </xf>
    <xf numFmtId="8" fontId="3" fillId="3" borderId="15" xfId="0" applyNumberFormat="1" applyFont="1" applyFill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8" fontId="0" fillId="3" borderId="5" xfId="0" applyNumberFormat="1" applyFill="1" applyBorder="1" applyAlignment="1">
      <alignment horizontal="center"/>
    </xf>
    <xf numFmtId="8" fontId="0" fillId="3" borderId="6" xfId="0" applyNumberFormat="1" applyFill="1" applyBorder="1" applyAlignment="1">
      <alignment horizontal="center"/>
    </xf>
    <xf numFmtId="8" fontId="0" fillId="3" borderId="8" xfId="0" applyNumberFormat="1" applyFill="1" applyBorder="1" applyAlignment="1">
      <alignment horizontal="center"/>
    </xf>
    <xf numFmtId="8" fontId="0" fillId="3" borderId="10" xfId="0" applyNumberFormat="1" applyFill="1" applyBorder="1" applyAlignment="1">
      <alignment horizontal="center"/>
    </xf>
    <xf numFmtId="8" fontId="0" fillId="3" borderId="16" xfId="0" applyNumberFormat="1" applyFill="1" applyBorder="1" applyAlignment="1">
      <alignment horizontal="center"/>
    </xf>
    <xf numFmtId="0" fontId="2" fillId="3" borderId="18" xfId="0" applyFont="1" applyFill="1" applyBorder="1" applyAlignment="1">
      <alignment horizontal="left" indent="1"/>
    </xf>
    <xf numFmtId="0" fontId="2" fillId="3" borderId="19" xfId="0" applyFont="1" applyFill="1" applyBorder="1" applyAlignment="1">
      <alignment horizontal="left" indent="1"/>
    </xf>
    <xf numFmtId="0" fontId="2" fillId="3" borderId="12" xfId="0" applyFont="1" applyFill="1" applyBorder="1" applyAlignment="1">
      <alignment horizontal="left" indent="1"/>
    </xf>
    <xf numFmtId="0" fontId="2" fillId="3" borderId="11" xfId="0" applyFont="1" applyFill="1" applyBorder="1" applyAlignment="1">
      <alignment horizontal="left" indent="1"/>
    </xf>
    <xf numFmtId="0" fontId="2" fillId="3" borderId="14" xfId="0" applyFont="1" applyFill="1" applyBorder="1" applyAlignment="1">
      <alignment horizontal="left" indent="1"/>
    </xf>
    <xf numFmtId="0" fontId="2" fillId="3" borderId="20" xfId="0" applyFont="1" applyFill="1" applyBorder="1" applyAlignment="1">
      <alignment horizontal="left" indent="1"/>
    </xf>
    <xf numFmtId="0" fontId="2" fillId="0" borderId="18" xfId="0" applyFont="1" applyBorder="1" applyAlignment="1">
      <alignment horizontal="left" vertical="center" indent="1"/>
    </xf>
    <xf numFmtId="0" fontId="2" fillId="0" borderId="19" xfId="0" applyFont="1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0" fontId="3" fillId="3" borderId="12" xfId="0" applyFont="1" applyFill="1" applyBorder="1" applyAlignment="1">
      <alignment horizontal="left" vertical="center" indent="1"/>
    </xf>
    <xf numFmtId="0" fontId="3" fillId="3" borderId="11" xfId="0" applyFont="1" applyFill="1" applyBorder="1" applyAlignment="1">
      <alignment horizontal="left" vertical="center" indent="1"/>
    </xf>
    <xf numFmtId="0" fontId="3" fillId="3" borderId="14" xfId="0" applyFont="1" applyFill="1" applyBorder="1" applyAlignment="1">
      <alignment horizontal="left" vertical="center" indent="1"/>
    </xf>
    <xf numFmtId="0" fontId="3" fillId="3" borderId="20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left" indent="1"/>
    </xf>
    <xf numFmtId="0" fontId="2" fillId="3" borderId="7" xfId="0" applyFont="1" applyFill="1" applyBorder="1" applyAlignment="1">
      <alignment horizontal="left" indent="1"/>
    </xf>
    <xf numFmtId="0" fontId="2" fillId="3" borderId="9" xfId="0" applyFont="1" applyFill="1" applyBorder="1" applyAlignment="1">
      <alignment horizontal="left" indent="1"/>
    </xf>
    <xf numFmtId="164" fontId="2" fillId="3" borderId="15" xfId="0" applyNumberFormat="1" applyFont="1" applyFill="1" applyBorder="1" applyAlignment="1">
      <alignment horizontal="center" vertical="center"/>
    </xf>
    <xf numFmtId="0" fontId="4" fillId="4" borderId="0" xfId="1"/>
    <xf numFmtId="0" fontId="0" fillId="0" borderId="21" xfId="0" applyBorder="1"/>
    <xf numFmtId="9" fontId="0" fillId="0" borderId="21" xfId="0" applyNumberFormat="1" applyBorder="1"/>
    <xf numFmtId="0" fontId="9" fillId="0" borderId="0" xfId="0" applyFont="1"/>
    <xf numFmtId="0" fontId="10" fillId="2" borderId="0" xfId="0" applyFont="1" applyFill="1" applyAlignment="1">
      <alignment horizontal="center"/>
    </xf>
    <xf numFmtId="0" fontId="7" fillId="5" borderId="0" xfId="0" applyFont="1" applyFill="1"/>
    <xf numFmtId="164" fontId="7" fillId="5" borderId="0" xfId="0" applyNumberFormat="1" applyFont="1" applyFill="1"/>
    <xf numFmtId="164" fontId="0" fillId="3" borderId="0" xfId="0" applyNumberFormat="1" applyFill="1"/>
    <xf numFmtId="0" fontId="4" fillId="4" borderId="0" xfId="1" applyAlignment="1">
      <alignment horizontal="center"/>
    </xf>
    <xf numFmtId="164" fontId="9" fillId="0" borderId="0" xfId="0" applyNumberFormat="1" applyFont="1" applyAlignment="1">
      <alignment horizontal="center"/>
    </xf>
  </cellXfs>
  <cellStyles count="2">
    <cellStyle name="Normal" xfId="0" builtinId="0"/>
    <cellStyle name="Ruim" xfId="1" builtinId="27"/>
  </cellStyles>
  <dxfs count="0"/>
  <tableStyles count="0" defaultTableStyle="TableStyleMedium2" defaultPivotStyle="PivotStyleMedium9"/>
  <colors>
    <mruColors>
      <color rgb="FF581845"/>
      <color rgb="FFFF92A5"/>
      <color rgb="FFFFD6DE"/>
      <color rgb="FFFFFFFF"/>
      <color rgb="FFFAD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19050</xdr:rowOff>
    </xdr:from>
    <xdr:to>
      <xdr:col>4</xdr:col>
      <xdr:colOff>85725</xdr:colOff>
      <xdr:row>9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3179EA-31A7-E31B-EC70-9EE3E4778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209550"/>
          <a:ext cx="6096000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1"/>
  <sheetViews>
    <sheetView showGridLines="0" showRowColHeaders="0" tabSelected="1" workbookViewId="0">
      <selection activeCell="C8" sqref="C8"/>
    </sheetView>
  </sheetViews>
  <sheetFormatPr defaultColWidth="0" defaultRowHeight="15"/>
  <cols>
    <col min="1" max="1" width="9.140625" customWidth="1"/>
    <col min="2" max="2" width="40.7109375" customWidth="1"/>
    <col min="3" max="3" width="33.42578125" customWidth="1"/>
    <col min="4" max="4" width="14.5703125" bestFit="1" customWidth="1"/>
    <col min="5" max="5" width="9.140625" customWidth="1"/>
  </cols>
  <sheetData>
    <row r="11" spans="2:4" ht="27" customHeight="1">
      <c r="B11" s="6" t="s">
        <v>0</v>
      </c>
      <c r="C11" s="11"/>
      <c r="D11" s="7"/>
    </row>
    <row r="12" spans="2:4" ht="15.75">
      <c r="B12" s="24" t="s">
        <v>1</v>
      </c>
      <c r="C12" s="25"/>
      <c r="D12" s="13">
        <v>7500</v>
      </c>
    </row>
    <row r="13" spans="2:4" ht="15.75">
      <c r="B13" s="26" t="s">
        <v>2</v>
      </c>
      <c r="C13" s="27"/>
      <c r="D13" s="10">
        <v>0.01</v>
      </c>
    </row>
    <row r="14" spans="2:4" ht="15.75">
      <c r="B14" s="28" t="s">
        <v>3</v>
      </c>
      <c r="C14" s="29"/>
      <c r="D14" s="41">
        <f>D12*30%</f>
        <v>2250</v>
      </c>
    </row>
    <row r="16" spans="2:4" ht="24" customHeight="1">
      <c r="B16" s="2" t="s">
        <v>4</v>
      </c>
      <c r="C16" s="3"/>
      <c r="D16" s="12"/>
    </row>
    <row r="17" spans="1:4" ht="15.75">
      <c r="B17" s="30" t="s">
        <v>5</v>
      </c>
      <c r="C17" s="31"/>
      <c r="D17" s="18">
        <v>2250</v>
      </c>
    </row>
    <row r="18" spans="1:4" ht="15.75">
      <c r="B18" s="32" t="s">
        <v>6</v>
      </c>
      <c r="C18" s="33"/>
      <c r="D18" s="14">
        <v>5</v>
      </c>
    </row>
    <row r="19" spans="1:4" ht="15.75">
      <c r="B19" s="32" t="s">
        <v>7</v>
      </c>
      <c r="C19" s="33"/>
      <c r="D19" s="15">
        <v>1.0789999999999999E-2</v>
      </c>
    </row>
    <row r="20" spans="1:4" ht="15.75">
      <c r="B20" s="34" t="s">
        <v>8</v>
      </c>
      <c r="C20" s="35"/>
      <c r="D20" s="16">
        <f>FV(D19,D18*12,D17*-1)</f>
        <v>188498.05649659719</v>
      </c>
    </row>
    <row r="21" spans="1:4" ht="15.75">
      <c r="B21" s="36" t="s">
        <v>9</v>
      </c>
      <c r="C21" s="37"/>
      <c r="D21" s="17">
        <f>D20*1%</f>
        <v>1884.980564965972</v>
      </c>
    </row>
    <row r="23" spans="1:4" ht="23.25">
      <c r="B23" s="2" t="s">
        <v>10</v>
      </c>
      <c r="C23" s="3"/>
      <c r="D23" s="4" t="s">
        <v>11</v>
      </c>
    </row>
    <row r="24" spans="1:4" ht="15.75">
      <c r="A24" s="1">
        <v>2</v>
      </c>
      <c r="B24" s="38" t="s">
        <v>12</v>
      </c>
      <c r="C24" s="19">
        <f>FV($D$19,$A24*12,$D$17*-1)</f>
        <v>61262.161419701741</v>
      </c>
      <c r="D24" s="20">
        <f>C24*$D$13</f>
        <v>612.62161419701738</v>
      </c>
    </row>
    <row r="25" spans="1:4" ht="15.75">
      <c r="A25" s="1">
        <v>5</v>
      </c>
      <c r="B25" s="39" t="s">
        <v>13</v>
      </c>
      <c r="C25" s="21">
        <f>FV($D$19,$A25*12,$D$17*-1)</f>
        <v>188498.05649659719</v>
      </c>
      <c r="D25" s="20">
        <f>C25*$D$13</f>
        <v>1884.980564965972</v>
      </c>
    </row>
    <row r="26" spans="1:4" ht="15.75">
      <c r="A26" s="1">
        <v>10</v>
      </c>
      <c r="B26" s="39" t="s">
        <v>14</v>
      </c>
      <c r="C26" s="21">
        <f>FV($D$19,$A26*12,$D$17*-1)</f>
        <v>547389.4781928875</v>
      </c>
      <c r="D26" s="20">
        <f>C26*$D$13</f>
        <v>5473.8947819288751</v>
      </c>
    </row>
    <row r="27" spans="1:4" ht="15.75">
      <c r="A27" s="1">
        <v>20</v>
      </c>
      <c r="B27" s="39" t="s">
        <v>15</v>
      </c>
      <c r="C27" s="21">
        <f>FV($D$19,$A27*12,$D$17*-1)</f>
        <v>2531696.4002184314</v>
      </c>
      <c r="D27" s="20">
        <f>C27*$D$13</f>
        <v>25316.964002184315</v>
      </c>
    </row>
    <row r="28" spans="1:4" ht="15.75">
      <c r="A28" s="1">
        <v>30</v>
      </c>
      <c r="B28" s="40" t="s">
        <v>16</v>
      </c>
      <c r="C28" s="22">
        <f>FV($D$19,$A28*12,$D$17*-1)</f>
        <v>9724881.7237606086</v>
      </c>
      <c r="D28" s="23">
        <f>C28*$D$13</f>
        <v>97248.817237606083</v>
      </c>
    </row>
    <row r="31" spans="1:4">
      <c r="B31" s="42" t="s">
        <v>17</v>
      </c>
      <c r="C31" s="50" t="s">
        <v>18</v>
      </c>
      <c r="D31" s="42"/>
    </row>
    <row r="32" spans="1:4">
      <c r="B32" s="45" t="s">
        <v>19</v>
      </c>
      <c r="C32" s="51" cm="1">
        <f t="array" ref="C32">aporte</f>
        <v>2250</v>
      </c>
      <c r="D32" s="45"/>
    </row>
    <row r="34" spans="2:4">
      <c r="B34" s="47" t="s">
        <v>20</v>
      </c>
      <c r="C34" s="47" t="s">
        <v>21</v>
      </c>
      <c r="D34" s="47" t="s">
        <v>22</v>
      </c>
    </row>
    <row r="35" spans="2:4">
      <c r="B35" t="s">
        <v>23</v>
      </c>
      <c r="C35" s="5" cm="1">
        <f t="array" ref="C35">VLOOKUP(Perfil&amp;"-"&amp;B35,Planilha2!$A$2:$D$20,4,FALSE)</f>
        <v>0.3</v>
      </c>
      <c r="D35" s="49">
        <f>C35*$C$32</f>
        <v>675</v>
      </c>
    </row>
    <row r="36" spans="2:4">
      <c r="B36" t="s">
        <v>24</v>
      </c>
      <c r="C36" s="5" cm="1">
        <f t="array" ref="C36">VLOOKUP(Perfil&amp;"-"&amp;B36,Planilha2!$A$2:$D$20,4,FALSE)</f>
        <v>0.5</v>
      </c>
      <c r="D36" s="49">
        <f t="shared" ref="D36:D40" si="0">C36*$C$32</f>
        <v>1125</v>
      </c>
    </row>
    <row r="37" spans="2:4">
      <c r="B37" t="s">
        <v>25</v>
      </c>
      <c r="C37" s="5" cm="1">
        <f t="array" ref="C37">VLOOKUP(Perfil&amp;"-"&amp;B37,Planilha2!$A$2:$D$20,4,FALSE)</f>
        <v>0.1</v>
      </c>
      <c r="D37" s="49">
        <f t="shared" si="0"/>
        <v>225</v>
      </c>
    </row>
    <row r="38" spans="2:4">
      <c r="B38" t="s">
        <v>26</v>
      </c>
      <c r="C38" s="5" cm="1">
        <f t="array" ref="C38">VLOOKUP(Perfil&amp;"-"&amp;B38,Planilha2!$A$2:$D$20,4,FALSE)</f>
        <v>0.1</v>
      </c>
      <c r="D38" s="49">
        <f t="shared" si="0"/>
        <v>225</v>
      </c>
    </row>
    <row r="39" spans="2:4">
      <c r="B39" t="s">
        <v>27</v>
      </c>
      <c r="C39" s="5" cm="1">
        <f t="array" ref="C39">VLOOKUP(Perfil&amp;"-"&amp;B39,Planilha2!$A$2:$D$20,4,FALSE)</f>
        <v>0</v>
      </c>
      <c r="D39" s="49">
        <f t="shared" si="0"/>
        <v>0</v>
      </c>
    </row>
    <row r="40" spans="2:4">
      <c r="B40" t="s">
        <v>28</v>
      </c>
      <c r="C40" s="5" cm="1">
        <f t="array" ref="C40">VLOOKUP(Perfil&amp;"-"&amp;B40,Planilha2!$A$2:$D$20,4,FALSE)</f>
        <v>0</v>
      </c>
      <c r="D40" s="49">
        <f t="shared" si="0"/>
        <v>0</v>
      </c>
    </row>
    <row r="41" spans="2:4">
      <c r="B41" s="47"/>
      <c r="C41" s="47"/>
      <c r="D41" s="48">
        <f>SUM(D35:D40)</f>
        <v>2250</v>
      </c>
    </row>
  </sheetData>
  <mergeCells count="11">
    <mergeCell ref="B23:C23"/>
    <mergeCell ref="B12:C12"/>
    <mergeCell ref="B13:C13"/>
    <mergeCell ref="B14:C14"/>
    <mergeCell ref="B17:C17"/>
    <mergeCell ref="B18:C18"/>
    <mergeCell ref="B19:C19"/>
    <mergeCell ref="B20:C20"/>
    <mergeCell ref="B21:C21"/>
    <mergeCell ref="B11:D11"/>
    <mergeCell ref="B16:D16"/>
  </mergeCells>
  <dataValidations count="1">
    <dataValidation type="list" allowBlank="1" showInputMessage="1" showErrorMessage="1" sqref="C31" xr:uid="{BEA6ABB9-BAFF-4C01-B81F-9F29DAAAF498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19B2-F433-46DB-880D-A96F47428383}">
  <dimension ref="A2:H20"/>
  <sheetViews>
    <sheetView workbookViewId="0">
      <selection activeCell="G11" sqref="G11"/>
    </sheetView>
  </sheetViews>
  <sheetFormatPr defaultRowHeight="15"/>
  <cols>
    <col min="1" max="1" width="28.5703125" bestFit="1" customWidth="1"/>
    <col min="2" max="2" width="12.140625" bestFit="1" customWidth="1"/>
    <col min="3" max="3" width="16.5703125" bestFit="1" customWidth="1"/>
    <col min="7" max="7" width="15.85546875" bestFit="1" customWidth="1"/>
  </cols>
  <sheetData>
    <row r="2" spans="1:8">
      <c r="A2" s="46" t="s">
        <v>29</v>
      </c>
      <c r="B2" s="46" t="s">
        <v>17</v>
      </c>
      <c r="C2" s="46" t="s">
        <v>20</v>
      </c>
      <c r="D2" s="46" t="s">
        <v>30</v>
      </c>
    </row>
    <row r="3" spans="1:8">
      <c r="A3" s="8" t="str">
        <f>B3&amp;"-"&amp;C3</f>
        <v>Conservador-Papel</v>
      </c>
      <c r="B3" s="8" t="s">
        <v>18</v>
      </c>
      <c r="C3" s="8" t="s">
        <v>23</v>
      </c>
      <c r="D3" s="9">
        <v>0.3</v>
      </c>
      <c r="H3" t="s">
        <v>30</v>
      </c>
    </row>
    <row r="4" spans="1:8">
      <c r="A4" s="8" t="str">
        <f t="shared" ref="A4:A20" si="0">B4&amp;"-"&amp;C4</f>
        <v>Conservador-Tijolo</v>
      </c>
      <c r="B4" s="8" t="s">
        <v>18</v>
      </c>
      <c r="C4" s="8" t="s">
        <v>24</v>
      </c>
      <c r="D4" s="9">
        <v>0.5</v>
      </c>
      <c r="G4" t="s">
        <v>31</v>
      </c>
      <c r="H4" s="5">
        <f>VLOOKUP(G4,A2:D20,4,FALSE)</f>
        <v>0.35</v>
      </c>
    </row>
    <row r="5" spans="1:8">
      <c r="A5" s="8" t="str">
        <f t="shared" si="0"/>
        <v>Conservador-Híbridos</v>
      </c>
      <c r="B5" s="8" t="s">
        <v>18</v>
      </c>
      <c r="C5" s="8" t="s">
        <v>25</v>
      </c>
      <c r="D5" s="9">
        <v>0.1</v>
      </c>
    </row>
    <row r="6" spans="1:8">
      <c r="A6" s="8" t="str">
        <f t="shared" si="0"/>
        <v>Conservador-FOFs</v>
      </c>
      <c r="B6" s="8" t="s">
        <v>18</v>
      </c>
      <c r="C6" s="8" t="s">
        <v>26</v>
      </c>
      <c r="D6" s="9">
        <v>0.1</v>
      </c>
    </row>
    <row r="7" spans="1:8">
      <c r="A7" s="8" t="str">
        <f t="shared" si="0"/>
        <v>Conservador-Desenvolvimento</v>
      </c>
      <c r="B7" s="8" t="s">
        <v>18</v>
      </c>
      <c r="C7" s="8" t="s">
        <v>27</v>
      </c>
      <c r="D7" s="9">
        <v>0</v>
      </c>
    </row>
    <row r="8" spans="1:8">
      <c r="A8" s="43" t="str">
        <f t="shared" si="0"/>
        <v>Conservador-Hotelarias</v>
      </c>
      <c r="B8" s="43" t="s">
        <v>18</v>
      </c>
      <c r="C8" s="43" t="s">
        <v>28</v>
      </c>
      <c r="D8" s="44">
        <v>0</v>
      </c>
    </row>
    <row r="9" spans="1:8">
      <c r="A9" s="8" t="str">
        <f t="shared" si="0"/>
        <v>Moderado-Papel</v>
      </c>
      <c r="B9" s="8" t="s">
        <v>32</v>
      </c>
      <c r="C9" s="8" t="s">
        <v>23</v>
      </c>
      <c r="D9" s="9">
        <v>0.32</v>
      </c>
    </row>
    <row r="10" spans="1:8">
      <c r="A10" s="8" t="str">
        <f t="shared" si="0"/>
        <v>Moderado-Tijolo</v>
      </c>
      <c r="B10" s="8" t="s">
        <v>32</v>
      </c>
      <c r="C10" s="8" t="s">
        <v>24</v>
      </c>
      <c r="D10" s="9">
        <v>0.35</v>
      </c>
    </row>
    <row r="11" spans="1:8">
      <c r="A11" s="8" t="str">
        <f t="shared" si="0"/>
        <v>Moderado-Híbridos</v>
      </c>
      <c r="B11" s="8" t="s">
        <v>32</v>
      </c>
      <c r="C11" s="8" t="s">
        <v>25</v>
      </c>
      <c r="D11" s="9">
        <v>0.08</v>
      </c>
    </row>
    <row r="12" spans="1:8">
      <c r="A12" s="8" t="str">
        <f t="shared" si="0"/>
        <v>Moderado-FOFs</v>
      </c>
      <c r="B12" s="8" t="s">
        <v>32</v>
      </c>
      <c r="C12" s="8" t="s">
        <v>26</v>
      </c>
      <c r="D12" s="9">
        <v>0.05</v>
      </c>
    </row>
    <row r="13" spans="1:8">
      <c r="A13" s="8" t="str">
        <f t="shared" si="0"/>
        <v>Moderado-Desenvolvimento</v>
      </c>
      <c r="B13" s="8" t="s">
        <v>32</v>
      </c>
      <c r="C13" s="8" t="s">
        <v>27</v>
      </c>
      <c r="D13" s="9">
        <v>0.1</v>
      </c>
    </row>
    <row r="14" spans="1:8">
      <c r="A14" s="43" t="str">
        <f t="shared" si="0"/>
        <v>Moderado-Hotelarias</v>
      </c>
      <c r="B14" s="43" t="s">
        <v>32</v>
      </c>
      <c r="C14" s="43" t="s">
        <v>28</v>
      </c>
      <c r="D14" s="44">
        <v>0.1</v>
      </c>
    </row>
    <row r="15" spans="1:8">
      <c r="A15" s="8" t="str">
        <f t="shared" si="0"/>
        <v>Agressivo-Papel</v>
      </c>
      <c r="B15" s="8" t="s">
        <v>33</v>
      </c>
      <c r="C15" s="8" t="s">
        <v>23</v>
      </c>
      <c r="D15" s="9">
        <v>0.5</v>
      </c>
    </row>
    <row r="16" spans="1:8">
      <c r="A16" s="8" t="str">
        <f t="shared" si="0"/>
        <v>Agressivo-Tijolo</v>
      </c>
      <c r="B16" s="8" t="s">
        <v>33</v>
      </c>
      <c r="C16" s="8" t="s">
        <v>24</v>
      </c>
      <c r="D16" s="9">
        <v>0.1</v>
      </c>
    </row>
    <row r="17" spans="1:4">
      <c r="A17" s="8" t="str">
        <f t="shared" si="0"/>
        <v>Agressivo-Híbridos</v>
      </c>
      <c r="B17" s="8" t="s">
        <v>33</v>
      </c>
      <c r="C17" s="8" t="s">
        <v>25</v>
      </c>
      <c r="D17" s="9">
        <v>0.05</v>
      </c>
    </row>
    <row r="18" spans="1:4">
      <c r="A18" s="8" t="str">
        <f t="shared" si="0"/>
        <v>Agressivo-FOFs</v>
      </c>
      <c r="B18" s="8" t="s">
        <v>33</v>
      </c>
      <c r="C18" s="8" t="s">
        <v>26</v>
      </c>
      <c r="D18" s="9">
        <v>0.05</v>
      </c>
    </row>
    <row r="19" spans="1:4">
      <c r="A19" s="8" t="str">
        <f t="shared" si="0"/>
        <v>Agressivo-Desenvolvimento</v>
      </c>
      <c r="B19" s="8" t="s">
        <v>33</v>
      </c>
      <c r="C19" s="8" t="s">
        <v>27</v>
      </c>
      <c r="D19" s="9">
        <v>0.2</v>
      </c>
    </row>
    <row r="20" spans="1:4">
      <c r="A20" s="8" t="str">
        <f t="shared" si="0"/>
        <v>Agressivo-Hotelarias</v>
      </c>
      <c r="B20" s="8" t="s">
        <v>33</v>
      </c>
      <c r="C20" s="8" t="s">
        <v>28</v>
      </c>
      <c r="D20" s="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2026-10-16T16:24:21Z</dcterms:created>
  <dcterms:modified xsi:type="dcterms:W3CDTF">2026-10-17T01:52:48Z</dcterms:modified>
  <cp:category/>
  <cp:contentStatus/>
</cp:coreProperties>
</file>